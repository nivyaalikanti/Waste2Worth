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_Metal_Content" sheetId="1" state="visible" r:id="rId3"/>
    <sheet name="Storage_Multiplier" sheetId="2" state="visible" r:id="rId4"/>
    <sheet name="Battery_Multiplier" sheetId="3" state="visible" r:id="rId5"/>
    <sheet name="Weight_Multiplier" sheetId="4" state="visible" r:id="rId6"/>
    <sheet name="Age_Depreciation" sheetId="5" state="visible" r:id="rId7"/>
    <sheet name="Condition_Multiplier" sheetId="6" state="visible" r:id="rId8"/>
    <sheet name="Recovery_Value_Formula" sheetId="7" state="visible" r:id="rId9"/>
    <sheet name="RAM_Multipli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<sst xmlns="http://schemas.openxmlformats.org/spreadsheetml/2006/main" count="402" uniqueCount="325">
  <si>
    <t xml:space="preserve">E-Waste Material Recovery — Brand Metal Content Table</t>
  </si>
  <si>
    <t xml:space="preserve">Source: ScienceDirect (Gómez et al. 2023, Singh et al. 2018), UN University E-Waste Monitor, Enago Academy, Vertu Precious Metals Report 2025</t>
  </si>
  <si>
    <t xml:space="preserve">Brand</t>
  </si>
  <si>
    <t xml:space="preserve">Tier</t>
  </si>
  <si>
    <t xml:space="preserve">Base Gold (g)</t>
  </si>
  <si>
    <t xml:space="preserve">Base Silver (g)</t>
  </si>
  <si>
    <t xml:space="preserve">Base Copper (g)</t>
  </si>
  <si>
    <t xml:space="preserve">Base Lithium (g)</t>
  </si>
  <si>
    <t xml:space="preserve">Brand Factor</t>
  </si>
  <si>
    <t xml:space="preserve">Notes</t>
  </si>
  <si>
    <t xml:space="preserve">Apple</t>
  </si>
  <si>
    <t xml:space="preserve">Premium</t>
  </si>
  <si>
    <t xml:space="preserve">Highest PCB density; stainless steel frame adds Cu</t>
  </si>
  <si>
    <t xml:space="preserve">Samsung</t>
  </si>
  <si>
    <t xml:space="preserve">Wide portfolio; Galaxy S series skews Au higher</t>
  </si>
  <si>
    <t xml:space="preserve">Google</t>
  </si>
  <si>
    <t xml:space="preserve">Pixel flagship-only; dense PCB design</t>
  </si>
  <si>
    <t xml:space="preserve">Sony</t>
  </si>
  <si>
    <t xml:space="preserve">Xperia premium build; higher connector density</t>
  </si>
  <si>
    <t xml:space="preserve">BlackBerry</t>
  </si>
  <si>
    <t xml:space="preserve">Legacy enterprise hardware; above-avg PCB quality</t>
  </si>
  <si>
    <t xml:space="preserve">Microsoft</t>
  </si>
  <si>
    <t xml:space="preserve">Lumia/Surface Phone; enterprise-grade components</t>
  </si>
  <si>
    <t xml:space="preserve">Asus</t>
  </si>
  <si>
    <t xml:space="preserve">Mid-High</t>
  </si>
  <si>
    <t xml:space="preserve">ROG/Zenfone; gaming models have larger PCBs</t>
  </si>
  <si>
    <t xml:space="preserve">LG</t>
  </si>
  <si>
    <t xml:space="preserve">Discontinued; avg mid-to-flagship ratio</t>
  </si>
  <si>
    <t xml:space="preserve">Motorola</t>
  </si>
  <si>
    <t xml:space="preserve">Mid</t>
  </si>
  <si>
    <t xml:space="preserve">Moto G/Edge; mostly mid-range, consistent quality</t>
  </si>
  <si>
    <t xml:space="preserve">OnePlus</t>
  </si>
  <si>
    <t xml:space="preserve">Flagship-killer positioning; reference baseline</t>
  </si>
  <si>
    <t xml:space="preserve">HTC</t>
  </si>
  <si>
    <t xml:space="preserve">Decline-era portfolio; mid-tier PCB density</t>
  </si>
  <si>
    <t xml:space="preserve">Huawei</t>
  </si>
  <si>
    <t xml:space="preserve">Kirin chips; comparable to Samsung mid-tier</t>
  </si>
  <si>
    <t xml:space="preserve">Honor</t>
  </si>
  <si>
    <t xml:space="preserve">Huawei spinoff; budget-to-mid range</t>
  </si>
  <si>
    <t xml:space="preserve">Nokia</t>
  </si>
  <si>
    <t xml:space="preserve">Mostly budget/mid Nokia-brand Android</t>
  </si>
  <si>
    <t xml:space="preserve">Xiaomi</t>
  </si>
  <si>
    <t xml:space="preserve">Mi/Redmi mix; large battery models common</t>
  </si>
  <si>
    <t xml:space="preserve">Oppo</t>
  </si>
  <si>
    <t xml:space="preserve">Find X flagship + budget A-series</t>
  </si>
  <si>
    <t xml:space="preserve">Vivo</t>
  </si>
  <si>
    <t xml:space="preserve">Similar PCB profile to Oppo; BBK group</t>
  </si>
  <si>
    <t xml:space="preserve">Realme</t>
  </si>
  <si>
    <t xml:space="preserve">Budget-Mid</t>
  </si>
  <si>
    <t xml:space="preserve">Budget-focused; thinner PCBs</t>
  </si>
  <si>
    <t xml:space="preserve">ZTE</t>
  </si>
  <si>
    <t xml:space="preserve">Telecom-grade components; competitive mid-tier</t>
  </si>
  <si>
    <t xml:space="preserve">Lenovo</t>
  </si>
  <si>
    <t xml:space="preserve">Moto acquisition; overlaps Motorola profile</t>
  </si>
  <si>
    <t xml:space="preserve">Meizu</t>
  </si>
  <si>
    <t xml:space="preserve">China domestic mid-range brand</t>
  </si>
  <si>
    <t xml:space="preserve">Alcatel</t>
  </si>
  <si>
    <t xml:space="preserve">Budget</t>
  </si>
  <si>
    <t xml:space="preserve">Entry-level TCL brand; simpler PCBs</t>
  </si>
  <si>
    <t xml:space="preserve">Acer</t>
  </si>
  <si>
    <t xml:space="preserve">Mostly budget Android; limited portfolio</t>
  </si>
  <si>
    <t xml:space="preserve">Coolpad</t>
  </si>
  <si>
    <t xml:space="preserve">Budget domestic China brand</t>
  </si>
  <si>
    <t xml:space="preserve">Infinix</t>
  </si>
  <si>
    <t xml:space="preserve">Transsion budget Africa/Asia brand</t>
  </si>
  <si>
    <t xml:space="preserve">Lava</t>
  </si>
  <si>
    <t xml:space="preserve">India budget brand; simpler components</t>
  </si>
  <si>
    <t xml:space="preserve">Micromax</t>
  </si>
  <si>
    <t xml:space="preserve">India budget brand; older models common</t>
  </si>
  <si>
    <t xml:space="preserve">Panasonic</t>
  </si>
  <si>
    <t xml:space="preserve">Toughbook rugged line; durable components</t>
  </si>
  <si>
    <t xml:space="preserve">Gionee</t>
  </si>
  <si>
    <t xml:space="preserve">Discontinued China brand; mid-tier era</t>
  </si>
  <si>
    <t xml:space="preserve">Karbonn</t>
  </si>
  <si>
    <t xml:space="preserve">India ultra-budget; basic PCBs</t>
  </si>
  <si>
    <t xml:space="preserve">Spice</t>
  </si>
  <si>
    <t xml:space="preserve">India ultra-budget feature/basic smartphone</t>
  </si>
  <si>
    <t xml:space="preserve">XOLO</t>
  </si>
  <si>
    <t xml:space="preserve">India budget brand (Lava subsidiary)</t>
  </si>
  <si>
    <t xml:space="preserve">Celkon</t>
  </si>
  <si>
    <t xml:space="preserve">India ultra-budget; minimal PCB complexity</t>
  </si>
  <si>
    <t xml:space="preserve">Others</t>
  </si>
  <si>
    <t xml:space="preserve">Mixed</t>
  </si>
  <si>
    <t xml:space="preserve">Generic mid estimate for unclassified brands</t>
  </si>
  <si>
    <t xml:space="preserve">Storage Multiplier Table</t>
  </si>
  <si>
    <t xml:space="preserve">Higher storage → more PCB layers, more connectors, more Au/Ag plating on NAND flash chips</t>
  </si>
  <si>
    <t xml:space="preserve">Storage</t>
  </si>
  <si>
    <t xml:space="preserve">Multiplier</t>
  </si>
  <si>
    <t xml:space="preserve">Rationale</t>
  </si>
  <si>
    <t xml:space="preserve">Source</t>
  </si>
  <si>
    <t xml:space="preserve">16 GB</t>
  </si>
  <si>
    <t xml:space="preserve">Very old / feature-phone era; minimal NAND stacking</t>
  </si>
  <si>
    <t xml:space="preserve">Industry teardown estimates</t>
  </si>
  <si>
    <t xml:space="preserve">32 GB</t>
  </si>
  <si>
    <t xml:space="preserve">Entry-level; single NAND chip, basic PCB</t>
  </si>
  <si>
    <t xml:space="preserve">UN E-Waste Monitor 2020</t>
  </si>
  <si>
    <t xml:space="preserve">64 GB</t>
  </si>
  <si>
    <t xml:space="preserve">Budget-mid; 1–2 NAND dies</t>
  </si>
  <si>
    <t xml:space="preserve">ScienceDirect Singh et al. 2018</t>
  </si>
  <si>
    <t xml:space="preserve">128 GB</t>
  </si>
  <si>
    <t xml:space="preserve">Baseline (most common 2019–2023 devices)</t>
  </si>
  <si>
    <t xml:space="preserve">Gómez et al. 2023 — reference unit</t>
  </si>
  <si>
    <t xml:space="preserve">256 GB</t>
  </si>
  <si>
    <t xml:space="preserve">+10%: extra NAND die layer, more Au bond wires</t>
  </si>
  <si>
    <t xml:space="preserve">Teardown studies; iFixit PCB analysis</t>
  </si>
  <si>
    <t xml:space="preserve">512 GB</t>
  </si>
  <si>
    <t xml:space="preserve">+22%: multi-die stacking; more plated connectors</t>
  </si>
  <si>
    <t xml:space="preserve">Bookhagen et al. 2020</t>
  </si>
  <si>
    <t xml:space="preserve">1 TB</t>
  </si>
  <si>
    <t xml:space="preserve">+38%: highest NAND density; premium board routing</t>
  </si>
  <si>
    <t xml:space="preserve">Apple iPhone 15 Pro teardown</t>
  </si>
  <si>
    <t xml:space="preserve">Battery Capacity Multiplier Table</t>
  </si>
  <si>
    <t xml:space="preserve">Li content = mAh × 0.3 / 1000 grams (IATA/BatteryGuy formula). Larger batteries → more Li, larger PCB power circuits</t>
  </si>
  <si>
    <t xml:space="preserve">Battery Capacity</t>
  </si>
  <si>
    <t xml:space="preserve">Li Content (g) approx.</t>
  </si>
  <si>
    <t xml:space="preserve">&lt; 2000 mAh</t>
  </si>
  <si>
    <t xml:space="preserve">0.60</t>
  </si>
  <si>
    <t xml:space="preserve">IATA Li content formula: mAh×0.3/1000</t>
  </si>
  <si>
    <t xml:space="preserve">2000 mAh</t>
  </si>
  <si>
    <t xml:space="preserve">BatteryGuy.com calculator</t>
  </si>
  <si>
    <t xml:space="preserve">3000 mAh</t>
  </si>
  <si>
    <t xml:space="preserve">0.90</t>
  </si>
  <si>
    <t xml:space="preserve">Heated Battery Research 2025</t>
  </si>
  <si>
    <t xml:space="preserve">4000 mAh</t>
  </si>
  <si>
    <t xml:space="preserve">1.20</t>
  </si>
  <si>
    <t xml:space="preserve">IATA DGR; most common 2019–2021 phones</t>
  </si>
  <si>
    <t xml:space="preserve">5000 mAh</t>
  </si>
  <si>
    <t xml:space="preserve">1.50</t>
  </si>
  <si>
    <t xml:space="preserve">Baseline — dominant 2022–2024 Android phones</t>
  </si>
  <si>
    <t xml:space="preserve">5000–6000 mAh</t>
  </si>
  <si>
    <t xml:space="preserve">1.65</t>
  </si>
  <si>
    <t xml:space="preserve">Realme/Xiaomi large battery models</t>
  </si>
  <si>
    <t xml:space="preserve">6000 mAh</t>
  </si>
  <si>
    <t xml:space="preserve">1.80</t>
  </si>
  <si>
    <t xml:space="preserve">Rugged/power-user phones; larger PMICs</t>
  </si>
  <si>
    <t xml:space="preserve">7000 mAh</t>
  </si>
  <si>
    <t xml:space="preserve">2.10</t>
  </si>
  <si>
    <t xml:space="preserve">Large-battery segment; extra power regulation circuits</t>
  </si>
  <si>
    <t xml:space="preserve">&gt; 7000 mAh</t>
  </si>
  <si>
    <t xml:space="preserve">2.40+</t>
  </si>
  <si>
    <t xml:space="preserve">Rugged/tablet-hybrid; OUKITEL/Blackview category</t>
  </si>
  <si>
    <t xml:space="preserve">Device Weight Multiplier Table</t>
  </si>
  <si>
    <t xml:space="preserve">Heavier phones → larger PCBs, more cameras, premium chassis materials (stainless steel, ceramic) = more recoverable metal</t>
  </si>
  <si>
    <t xml:space="preserve">Weight Range</t>
  </si>
  <si>
    <t xml:space="preserve">Profile</t>
  </si>
  <si>
    <t xml:space="preserve">&lt; 130 g</t>
  </si>
  <si>
    <t xml:space="preserve">Ultra-compact / old feature phone; minimal internals</t>
  </si>
  <si>
    <t xml:space="preserve">Industry teardown database</t>
  </si>
  <si>
    <t xml:space="preserve">130–150 g</t>
  </si>
  <si>
    <t xml:space="preserve">Compact modern phone; iPhone SE / budget Android class</t>
  </si>
  <si>
    <t xml:space="preserve">Apple iPhone SE 2022 teardown</t>
  </si>
  <si>
    <t xml:space="preserve">150–170 g</t>
  </si>
  <si>
    <t xml:space="preserve">Slim mid-range; standard single/dual camera setup</t>
  </si>
  <si>
    <t xml:space="preserve">Samsung A-series average</t>
  </si>
  <si>
    <t xml:space="preserve">170–190 g</t>
  </si>
  <si>
    <t xml:space="preserve">Mainstream mid; 6.1–6.4″ screen class</t>
  </si>
  <si>
    <t xml:space="preserve">Xiaomi Redmi Note average</t>
  </si>
  <si>
    <t xml:space="preserve">190–200 g</t>
  </si>
  <si>
    <t xml:space="preserve">Baseline — most common 2021–2024 flagship weight</t>
  </si>
  <si>
    <t xml:space="preserve">Samsung S23 / Pixel 7 reference</t>
  </si>
  <si>
    <t xml:space="preserve">200–210 g</t>
  </si>
  <si>
    <t xml:space="preserve">Larger display / triple camera; more PCB real-estate</t>
  </si>
  <si>
    <t xml:space="preserve">iPhone 14 Pro 206g</t>
  </si>
  <si>
    <t xml:space="preserve">210–220 g</t>
  </si>
  <si>
    <t xml:space="preserve">Premium large screen; Pro Max / Ultra class</t>
  </si>
  <si>
    <t xml:space="preserve">Samsung S23 Ultra 234g</t>
  </si>
  <si>
    <t xml:space="preserve">220–240 g</t>
  </si>
  <si>
    <t xml:space="preserve">Stainless steel / titanium frame phones; very dense PCB</t>
  </si>
  <si>
    <t xml:space="preserve">iPhone 15 Pro Max 221g</t>
  </si>
  <si>
    <t xml:space="preserve">&gt; 240 g</t>
  </si>
  <si>
    <t xml:space="preserve">Rugged / foldable / gaming phones; highest metal content</t>
  </si>
  <si>
    <t xml:space="preserve">Samsung Z Fold series</t>
  </si>
  <si>
    <t xml:space="preserve">Device Age — Metal Recoverability Multiplier</t>
  </si>
  <si>
    <t xml:space="preserve">Older devices lose some recoverable metal due to corrosion, oxidation of pads, and PCB degradation over time</t>
  </si>
  <si>
    <t xml:space="preserve">Device Age (years)</t>
  </si>
  <si>
    <t xml:space="preserve">Reason</t>
  </si>
  <si>
    <t xml:space="preserve">Note</t>
  </si>
  <si>
    <t xml:space="preserve">0–1 year</t>
  </si>
  <si>
    <t xml:space="preserve">Like-new; no corrosion; full metal recovery</t>
  </si>
  <si>
    <t xml:space="preserve">Reference baseline</t>
  </si>
  <si>
    <t xml:space="preserve">1–2 years</t>
  </si>
  <si>
    <t xml:space="preserve">Minimal oxidation on contact pads</t>
  </si>
  <si>
    <t xml:space="preserve">Industry recycle data</t>
  </si>
  <si>
    <t xml:space="preserve">2–3 years</t>
  </si>
  <si>
    <t xml:space="preserve">Slight surface corrosion; negligible loss</t>
  </si>
  <si>
    <t xml:space="preserve">E-waste recovery studies</t>
  </si>
  <si>
    <t xml:space="preserve">3–4 years</t>
  </si>
  <si>
    <t xml:space="preserve">Early PCB pad corrosion begins</t>
  </si>
  <si>
    <t xml:space="preserve">ScienceDirect 2023</t>
  </si>
  <si>
    <t xml:space="preserve">4–5 years</t>
  </si>
  <si>
    <t xml:space="preserve">Moderate pad/connector degradation</t>
  </si>
  <si>
    <t xml:space="preserve">UN E-Waste Monitor</t>
  </si>
  <si>
    <t xml:space="preserve">5–6 years</t>
  </si>
  <si>
    <t xml:space="preserve">Solder joint fatigue; some Cu oxidation</t>
  </si>
  <si>
    <t xml:space="preserve">PCB aging research</t>
  </si>
  <si>
    <t xml:space="preserve">6–7 years</t>
  </si>
  <si>
    <t xml:space="preserve">Significant corrosion; battery Li loss via dendrites</t>
  </si>
  <si>
    <t xml:space="preserve">7–8 years</t>
  </si>
  <si>
    <t xml:space="preserve">Heavy corrosion; partial PCB layer delamination</t>
  </si>
  <si>
    <t xml:space="preserve">Industrial recycler data</t>
  </si>
  <si>
    <t xml:space="preserve">&gt; 8 years</t>
  </si>
  <si>
    <t xml:space="preserve">Severe degradation; legacy PCB materials</t>
  </si>
  <si>
    <t xml:space="preserve">E-waste facility reports</t>
  </si>
  <si>
    <t xml:space="preserve">Device Condition — Metal Recoverability Multiplier</t>
  </si>
  <si>
    <t xml:space="preserve">Physical damage (cracked board, liquid damage, burnt components) reduces recoverable metal. Intact devices yield higher recycle value.</t>
  </si>
  <si>
    <t xml:space="preserve">Condition</t>
  </si>
  <si>
    <t xml:space="preserve">Description</t>
  </si>
  <si>
    <t xml:space="preserve">Impact</t>
  </si>
  <si>
    <t xml:space="preserve">Like New</t>
  </si>
  <si>
    <t xml:space="preserve">No scratches; original accessories; full functionality</t>
  </si>
  <si>
    <t xml:space="preserve">Slight premium — easier disassembly, cleaner recovery</t>
  </si>
  <si>
    <t xml:space="preserve">Good</t>
  </si>
  <si>
    <t xml:space="preserve">Minor wear; fully functional; no hardware damage</t>
  </si>
  <si>
    <t xml:space="preserve">Baseline — reference condition</t>
  </si>
  <si>
    <t xml:space="preserve">Fair</t>
  </si>
  <si>
    <t xml:space="preserve">Visible scratches/dents; functional but worn</t>
  </si>
  <si>
    <t xml:space="preserve">Minor PCB stress from drops</t>
  </si>
  <si>
    <t xml:space="preserve">Poor</t>
  </si>
  <si>
    <t xml:space="preserve">Cracked screen or back; may have minor faults</t>
  </si>
  <si>
    <t xml:space="preserve">Possible PCB micro-fractures</t>
  </si>
  <si>
    <t xml:space="preserve">Damaged</t>
  </si>
  <si>
    <t xml:space="preserve">Non-functional; cracked PCB or severe cosmetic damage</t>
  </si>
  <si>
    <t xml:space="preserve">Some components unrecoverable</t>
  </si>
  <si>
    <t xml:space="preserve">Liquid Damaged</t>
  </si>
  <si>
    <t xml:space="preserve">Water/moisture ingress; corrosion on PCB</t>
  </si>
  <si>
    <t xml:space="preserve">Significant Au/Cu corrosion loss</t>
  </si>
  <si>
    <t xml:space="preserve">Burnt / Exploded</t>
  </si>
  <si>
    <t xml:space="preserve">Battery or PCB thermal event; severe metal loss</t>
  </si>
  <si>
    <t xml:space="preserve">Heavy material degradation; safety risk</t>
  </si>
  <si>
    <t xml:space="preserve">Material Recovery Value — Calculation Formula Sheet</t>
  </si>
  <si>
    <t xml:space="preserve">Formula: Recovery_Value = (Au_g × Au_price + Ag_g × Ag_price + Cu_g × Cu_price + Li_g × Li_price) × Storage_M × Battery_M × Weight_M × Age_M × Condition_M</t>
  </si>
  <si>
    <t xml:space="preserve">LIVE METAL SPOT PRICES (INR per gram) — Update from goldapi.io / metals-api.com</t>
  </si>
  <si>
    <t xml:space="preserve">Metal</t>
  </si>
  <si>
    <t xml:space="preserve">USD per troy oz (approx)</t>
  </si>
  <si>
    <t xml:space="preserve">USD per gram</t>
  </si>
  <si>
    <t xml:space="preserve">INR per gram (×84)</t>
  </si>
  <si>
    <t xml:space="preserve">Last Updated</t>
  </si>
  <si>
    <t xml:space="preserve">Gold (Au)</t>
  </si>
  <si>
    <t xml:space="preserve">goldapi.io / metals-api.com</t>
  </si>
  <si>
    <t xml:space="preserve">2025-06</t>
  </si>
  <si>
    <t xml:space="preserve">Silver (Ag)</t>
  </si>
  <si>
    <t xml:space="preserve">Copper (Cu)</t>
  </si>
  <si>
    <t xml:space="preserve">LME Copper price per gram</t>
  </si>
  <si>
    <t xml:space="preserve">Lithium (Li)</t>
  </si>
  <si>
    <t xml:space="preserve">Benchmark Mineral Intelligence</t>
  </si>
  <si>
    <t xml:space="preserve">SAMPLE CALCULATION — Samsung Galaxy (Good condition, 128GB, 5000mAh, 190g, 3 years old)</t>
  </si>
  <si>
    <t xml:space="preserve">Parameter</t>
  </si>
  <si>
    <t xml:space="preserve">Value</t>
  </si>
  <si>
    <t xml:space="preserve">Multiplier Applied</t>
  </si>
  <si>
    <t xml:space="preserve">Adjusted Value</t>
  </si>
  <si>
    <t xml:space="preserve">Unit</t>
  </si>
  <si>
    <t xml:space="preserve">Brand Factor (Samsung)</t>
  </si>
  <si>
    <t xml:space="preserve">-</t>
  </si>
  <si>
    <t xml:space="preserve">factor</t>
  </si>
  <si>
    <t xml:space="preserve">From Brand_Metal_Content sheet</t>
  </si>
  <si>
    <t xml:space="preserve">Gold content</t>
  </si>
  <si>
    <t xml:space="preserve">×1.05</t>
  </si>
  <si>
    <t xml:space="preserve">grams</t>
  </si>
  <si>
    <t xml:space="preserve">Base × brand factor</t>
  </si>
  <si>
    <t xml:space="preserve">Silver content</t>
  </si>
  <si>
    <t xml:space="preserve">Copper content</t>
  </si>
  <si>
    <t xml:space="preserve">Lithium content</t>
  </si>
  <si>
    <t xml:space="preserve">Storage Multiplier (128GB)</t>
  </si>
  <si>
    <t xml:space="preserve">Baseline; From Storage_Multiplier sheet</t>
  </si>
  <si>
    <t xml:space="preserve">Battery Multiplier (5000)</t>
  </si>
  <si>
    <t xml:space="preserve">Baseline; From Battery_Multiplier sheet</t>
  </si>
  <si>
    <t xml:space="preserve">Weight Multiplier (190g)</t>
  </si>
  <si>
    <t xml:space="preserve">Baseline; From Weight_Multiplier sheet</t>
  </si>
  <si>
    <t xml:space="preserve">Age Multiplier (3 yrs)</t>
  </si>
  <si>
    <t xml:space="preserve">From Age_Depreciation sheet</t>
  </si>
  <si>
    <t xml:space="preserve">Condition Multiplier</t>
  </si>
  <si>
    <t xml:space="preserve">Good condition; From Condition_Multiplier</t>
  </si>
  <si>
    <t xml:space="preserve">Combined Multiplier</t>
  </si>
  <si>
    <t xml:space="preserve">all ×</t>
  </si>
  <si>
    <t xml:space="preserve">0.970</t>
  </si>
  <si>
    <t xml:space="preserve">1.05×1.00×1.00×1.00×0.97×1.00</t>
  </si>
  <si>
    <t xml:space="preserve">Gold value (INR)</t>
  </si>
  <si>
    <t xml:space="preserve">0.0378g × ~8923</t>
  </si>
  <si>
    <t xml:space="preserve">337</t>
  </si>
  <si>
    <t xml:space="preserve">INR</t>
  </si>
  <si>
    <t xml:space="preserve">Au at ₹8923/g (spot)</t>
  </si>
  <si>
    <t xml:space="preserve">Silver value (INR)</t>
  </si>
  <si>
    <t xml:space="preserve">0.378g × ~89.3</t>
  </si>
  <si>
    <t xml:space="preserve">34</t>
  </si>
  <si>
    <t xml:space="preserve">Ag at ₹89.3/g</t>
  </si>
  <si>
    <t xml:space="preserve">Copper value (INR)</t>
  </si>
  <si>
    <t xml:space="preserve">17.3g × 0.80</t>
  </si>
  <si>
    <t xml:space="preserve">14</t>
  </si>
  <si>
    <t xml:space="preserve">Cu at ₹0.80/g LME</t>
  </si>
  <si>
    <t xml:space="preserve">Lithium value (INR)</t>
  </si>
  <si>
    <t xml:space="preserve">1.05g × 1.51</t>
  </si>
  <si>
    <t xml:space="preserve">2</t>
  </si>
  <si>
    <t xml:space="preserve">Li at ₹1.51/g</t>
  </si>
  <si>
    <t xml:space="preserve">TOTAL RECOVERY VALUE</t>
  </si>
  <si>
    <t xml:space="preserve">387</t>
  </si>
  <si>
    <t xml:space="preserve">≈ ₹387 from materials alone</t>
  </si>
  <si>
    <t xml:space="preserve">RAM Multiplier Table</t>
  </si>
  <si>
    <t xml:space="preserve">More RAM → additional LPDDR dies on PCB → more Au/Ag bond wires, more Cu routing layers</t>
  </si>
  <si>
    <t xml:space="preserve">RAM</t>
  </si>
  <si>
    <t xml:space="preserve">Die Configuration</t>
  </si>
  <si>
    <t xml:space="preserve">1 GB</t>
  </si>
  <si>
    <t xml:space="preserve">Single 1Gb die; very old/budget devices</t>
  </si>
  <si>
    <t xml:space="preserve">Legacy feature phone teardowns</t>
  </si>
  <si>
    <t xml:space="preserve">2 GB</t>
  </si>
  <si>
    <t xml:space="preserve">1–2 LPDDR3 dies; budget Android class</t>
  </si>
  <si>
    <t xml:space="preserve">Samsung A-series budget teardown</t>
  </si>
  <si>
    <t xml:space="preserve">3 GB</t>
  </si>
  <si>
    <t xml:space="preserve">2 LPDDR4 dies; entry mid-range</t>
  </si>
  <si>
    <t xml:space="preserve">Xiaomi Redmi 9 class</t>
  </si>
  <si>
    <t xml:space="preserve">4 GB</t>
  </si>
  <si>
    <t xml:space="preserve">2 LPDDR4x dies; mainstream mid-range</t>
  </si>
  <si>
    <t xml:space="preserve">Oppo A-series PCB analysis</t>
  </si>
  <si>
    <t xml:space="preserve">6 GB</t>
  </si>
  <si>
    <t xml:space="preserve">Baseline — 3 LPDDR4x dies; common 2021–2022</t>
  </si>
  <si>
    <t xml:space="preserve">8 GB</t>
  </si>
  <si>
    <t xml:space="preserve">4 LPDDR4x dies; flagship-standard</t>
  </si>
  <si>
    <t xml:space="preserve">OnePlus/Samsung mid-flagship</t>
  </si>
  <si>
    <t xml:space="preserve">12 GB</t>
  </si>
  <si>
    <t xml:space="preserve">6 LPDDR5 dies; premium segment</t>
  </si>
  <si>
    <t xml:space="preserve">Pixel 7 Pro teardown</t>
  </si>
  <si>
    <t xml:space="preserve">8 LPDDR5x dies; flagship/gaming phones</t>
  </si>
  <si>
    <t xml:space="preserve">Samsung S23 Ultra PCB</t>
  </si>
  <si>
    <t xml:space="preserve">18 GB+</t>
  </si>
  <si>
    <t xml:space="preserve">Highest density; gaming/foldable flagships</t>
  </si>
  <si>
    <t xml:space="preserve">Asus ROG / Samsung Fold analysis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</si>
</sst>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2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b val="true"/>
      <sz val="13"/>
      <color rgb="FF1A3A2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4EDDA"/>
        <bgColor rgb="FFEAF3DE"/>
      </patternFill>
    </fill>
    <fill>
      <patternFill patternType="solid">
        <fgColor rgb="FFF8F9FA"/>
        <bgColor rgb="FFFFFFFF"/>
      </patternFill>
    </fill>
    <fill>
      <patternFill patternType="solid">
        <fgColor rgb="FF1A3A2A"/>
        <bgColor rgb="FF333300"/>
      </patternFill>
    </fill>
    <fill>
      <patternFill patternType="solid">
        <fgColor rgb="FFFFFFFF"/>
        <bgColor rgb="FFF8F9FA"/>
      </patternFill>
    </fill>
    <fill>
      <patternFill patternType="solid">
        <fgColor rgb="FFEAF3DE"/>
        <bgColor rgb="FFFFF3CD"/>
      </patternFill>
    </fill>
    <fill>
      <patternFill patternType="solid">
        <fgColor rgb="FFFFF3CD"/>
        <bgColor rgb="FFEAF3DE"/>
      </patternFill>
    </fill>
    <fill>
      <patternFill patternType="solid">
        <fgColor rgb="FF2E6B45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5"/>
      <rgbColor rgb="FFC0C0C0"/>
      <rgbColor rgb="FF808080"/>
      <rgbColor rgb="FF9999FF"/>
      <rgbColor rgb="FF993366"/>
      <rgbColor rgb="FFFFF3CD"/>
      <rgbColor rgb="FFEAF3D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7B4F00"/>
      <rgbColor rgb="FF993366"/>
      <rgbColor rgb="FF333399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6" t="n">
        <v>0.04</v>
      </c>
      <c r="D4" s="6" t="n">
        <v>0.4</v>
      </c>
      <c r="E4" s="6" t="n">
        <v>18</v>
      </c>
      <c r="F4" s="6" t="n">
        <v>1.05</v>
      </c>
      <c r="G4" s="7" t="n">
        <v>1.1</v>
      </c>
      <c r="H4" s="8" t="s">
        <v>12</v>
      </c>
    </row>
    <row r="5" customFormat="false" ht="15" hidden="false" customHeight="false" outlineLevel="0" collapsed="false">
      <c r="A5" s="4" t="s">
        <v>13</v>
      </c>
      <c r="B5" s="4" t="s">
        <v>11</v>
      </c>
      <c r="C5" s="9" t="n">
        <v>0.036</v>
      </c>
      <c r="D5" s="9" t="n">
        <v>0.36</v>
      </c>
      <c r="E5" s="9" t="n">
        <v>16.5</v>
      </c>
      <c r="F5" s="9" t="n">
        <v>1</v>
      </c>
      <c r="G5" s="7" t="n">
        <v>1.05</v>
      </c>
      <c r="H5" s="10" t="s">
        <v>14</v>
      </c>
    </row>
    <row r="6" customFormat="false" ht="15" hidden="false" customHeight="false" outlineLevel="0" collapsed="false">
      <c r="A6" s="4" t="s">
        <v>15</v>
      </c>
      <c r="B6" s="5" t="s">
        <v>11</v>
      </c>
      <c r="C6" s="6" t="n">
        <v>0.035</v>
      </c>
      <c r="D6" s="6" t="n">
        <v>0.35</v>
      </c>
      <c r="E6" s="6" t="n">
        <v>16</v>
      </c>
      <c r="F6" s="6" t="n">
        <v>0.96</v>
      </c>
      <c r="G6" s="7" t="n">
        <v>1.03</v>
      </c>
      <c r="H6" s="8" t="s">
        <v>16</v>
      </c>
    </row>
    <row r="7" customFormat="false" ht="15" hidden="false" customHeight="false" outlineLevel="0" collapsed="false">
      <c r="A7" s="4" t="s">
        <v>17</v>
      </c>
      <c r="B7" s="4" t="s">
        <v>11</v>
      </c>
      <c r="C7" s="9" t="n">
        <v>0.035</v>
      </c>
      <c r="D7" s="9" t="n">
        <v>0.35</v>
      </c>
      <c r="E7" s="9" t="n">
        <v>16.2</v>
      </c>
      <c r="F7" s="9" t="n">
        <v>0.96</v>
      </c>
      <c r="G7" s="7" t="n">
        <v>1.03</v>
      </c>
      <c r="H7" s="10" t="s">
        <v>18</v>
      </c>
    </row>
    <row r="8" customFormat="false" ht="23.85" hidden="false" customHeight="false" outlineLevel="0" collapsed="false">
      <c r="A8" s="4" t="s">
        <v>19</v>
      </c>
      <c r="B8" s="5" t="s">
        <v>11</v>
      </c>
      <c r="C8" s="6" t="n">
        <v>0.034</v>
      </c>
      <c r="D8" s="6" t="n">
        <v>0.34</v>
      </c>
      <c r="E8" s="6" t="n">
        <v>15.8</v>
      </c>
      <c r="F8" s="6" t="n">
        <v>0.9</v>
      </c>
      <c r="G8" s="7" t="n">
        <v>1.02</v>
      </c>
      <c r="H8" s="8" t="s">
        <v>20</v>
      </c>
    </row>
    <row r="9" customFormat="false" ht="23.85" hidden="false" customHeight="false" outlineLevel="0" collapsed="false">
      <c r="A9" s="4" t="s">
        <v>21</v>
      </c>
      <c r="B9" s="4" t="s">
        <v>11</v>
      </c>
      <c r="C9" s="9" t="n">
        <v>0.034</v>
      </c>
      <c r="D9" s="9" t="n">
        <v>0.34</v>
      </c>
      <c r="E9" s="9" t="n">
        <v>15.5</v>
      </c>
      <c r="F9" s="9" t="n">
        <v>0.9</v>
      </c>
      <c r="G9" s="7" t="n">
        <v>1.02</v>
      </c>
      <c r="H9" s="10" t="s">
        <v>22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6" t="n">
        <v>0.034</v>
      </c>
      <c r="D10" s="6" t="n">
        <v>0.34</v>
      </c>
      <c r="E10" s="6" t="n">
        <v>15.5</v>
      </c>
      <c r="F10" s="6" t="n">
        <v>0.93</v>
      </c>
      <c r="G10" s="7" t="n">
        <v>1.01</v>
      </c>
      <c r="H10" s="8" t="s">
        <v>25</v>
      </c>
    </row>
    <row r="11" customFormat="false" ht="15" hidden="false" customHeight="false" outlineLevel="0" collapsed="false">
      <c r="A11" s="4" t="s">
        <v>26</v>
      </c>
      <c r="B11" s="4" t="s">
        <v>24</v>
      </c>
      <c r="C11" s="9" t="n">
        <v>0.034</v>
      </c>
      <c r="D11" s="9" t="n">
        <v>0.34</v>
      </c>
      <c r="E11" s="9" t="n">
        <v>15.5</v>
      </c>
      <c r="F11" s="9" t="n">
        <v>0.93</v>
      </c>
      <c r="G11" s="7" t="n">
        <v>1.01</v>
      </c>
      <c r="H11" s="10" t="s">
        <v>27</v>
      </c>
    </row>
    <row r="12" customFormat="false" ht="15" hidden="false" customHeight="false" outlineLevel="0" collapsed="false">
      <c r="A12" s="4" t="s">
        <v>28</v>
      </c>
      <c r="B12" s="5" t="s">
        <v>29</v>
      </c>
      <c r="C12" s="6" t="n">
        <v>0.033</v>
      </c>
      <c r="D12" s="6" t="n">
        <v>0.33</v>
      </c>
      <c r="E12" s="6" t="n">
        <v>15</v>
      </c>
      <c r="F12" s="6" t="n">
        <v>0.9</v>
      </c>
      <c r="G12" s="7" t="n">
        <v>0.98</v>
      </c>
      <c r="H12" s="8" t="s">
        <v>30</v>
      </c>
    </row>
    <row r="13" customFormat="false" ht="15" hidden="false" customHeight="false" outlineLevel="0" collapsed="false">
      <c r="A13" s="4" t="s">
        <v>31</v>
      </c>
      <c r="B13" s="4" t="s">
        <v>24</v>
      </c>
      <c r="C13" s="9" t="n">
        <v>0.034</v>
      </c>
      <c r="D13" s="9" t="n">
        <v>0.34</v>
      </c>
      <c r="E13" s="9" t="n">
        <v>15.5</v>
      </c>
      <c r="F13" s="9" t="n">
        <v>0.93</v>
      </c>
      <c r="G13" s="7" t="n">
        <v>1</v>
      </c>
      <c r="H13" s="10" t="s">
        <v>32</v>
      </c>
    </row>
    <row r="14" customFormat="false" ht="15" hidden="false" customHeight="false" outlineLevel="0" collapsed="false">
      <c r="A14" s="4" t="s">
        <v>33</v>
      </c>
      <c r="B14" s="5" t="s">
        <v>29</v>
      </c>
      <c r="C14" s="6" t="n">
        <v>0.033</v>
      </c>
      <c r="D14" s="6" t="n">
        <v>0.33</v>
      </c>
      <c r="E14" s="6" t="n">
        <v>15</v>
      </c>
      <c r="F14" s="6" t="n">
        <v>0.9</v>
      </c>
      <c r="G14" s="7" t="n">
        <v>0.98</v>
      </c>
      <c r="H14" s="8" t="s">
        <v>34</v>
      </c>
    </row>
    <row r="15" customFormat="false" ht="15" hidden="false" customHeight="false" outlineLevel="0" collapsed="false">
      <c r="A15" s="4" t="s">
        <v>35</v>
      </c>
      <c r="B15" s="4" t="s">
        <v>24</v>
      </c>
      <c r="C15" s="9" t="n">
        <v>0.034</v>
      </c>
      <c r="D15" s="9" t="n">
        <v>0.34</v>
      </c>
      <c r="E15" s="9" t="n">
        <v>15.8</v>
      </c>
      <c r="F15" s="9" t="n">
        <v>0.96</v>
      </c>
      <c r="G15" s="7" t="n">
        <v>1.01</v>
      </c>
      <c r="H15" s="10" t="s">
        <v>36</v>
      </c>
    </row>
    <row r="16" customFormat="false" ht="15" hidden="false" customHeight="false" outlineLevel="0" collapsed="false">
      <c r="A16" s="4" t="s">
        <v>37</v>
      </c>
      <c r="B16" s="5" t="s">
        <v>29</v>
      </c>
      <c r="C16" s="6" t="n">
        <v>0.033</v>
      </c>
      <c r="D16" s="6" t="n">
        <v>0.33</v>
      </c>
      <c r="E16" s="6" t="n">
        <v>15</v>
      </c>
      <c r="F16" s="6" t="n">
        <v>0.9</v>
      </c>
      <c r="G16" s="7" t="n">
        <v>0.97</v>
      </c>
      <c r="H16" s="8" t="s">
        <v>38</v>
      </c>
    </row>
    <row r="17" customFormat="false" ht="15" hidden="false" customHeight="false" outlineLevel="0" collapsed="false">
      <c r="A17" s="4" t="s">
        <v>39</v>
      </c>
      <c r="B17" s="4" t="s">
        <v>29</v>
      </c>
      <c r="C17" s="9" t="n">
        <v>0.031</v>
      </c>
      <c r="D17" s="9" t="n">
        <v>0.31</v>
      </c>
      <c r="E17" s="9" t="n">
        <v>14.5</v>
      </c>
      <c r="F17" s="9" t="n">
        <v>0.84</v>
      </c>
      <c r="G17" s="7" t="n">
        <v>0.95</v>
      </c>
      <c r="H17" s="10" t="s">
        <v>40</v>
      </c>
    </row>
    <row r="18" customFormat="false" ht="15" hidden="false" customHeight="false" outlineLevel="0" collapsed="false">
      <c r="A18" s="4" t="s">
        <v>41</v>
      </c>
      <c r="B18" s="5" t="s">
        <v>29</v>
      </c>
      <c r="C18" s="6" t="n">
        <v>0.033</v>
      </c>
      <c r="D18" s="6" t="n">
        <v>0.33</v>
      </c>
      <c r="E18" s="6" t="n">
        <v>15</v>
      </c>
      <c r="F18" s="6" t="n">
        <v>0.9</v>
      </c>
      <c r="G18" s="7" t="n">
        <v>0.98</v>
      </c>
      <c r="H18" s="8" t="s">
        <v>42</v>
      </c>
    </row>
    <row r="19" customFormat="false" ht="15" hidden="false" customHeight="false" outlineLevel="0" collapsed="false">
      <c r="A19" s="4" t="s">
        <v>43</v>
      </c>
      <c r="B19" s="4" t="s">
        <v>29</v>
      </c>
      <c r="C19" s="9" t="n">
        <v>0.032</v>
      </c>
      <c r="D19" s="9" t="n">
        <v>0.32</v>
      </c>
      <c r="E19" s="9" t="n">
        <v>14.8</v>
      </c>
      <c r="F19" s="9" t="n">
        <v>0.87</v>
      </c>
      <c r="G19" s="7" t="n">
        <v>0.97</v>
      </c>
      <c r="H19" s="10" t="s">
        <v>44</v>
      </c>
    </row>
    <row r="20" customFormat="false" ht="15" hidden="false" customHeight="false" outlineLevel="0" collapsed="false">
      <c r="A20" s="4" t="s">
        <v>45</v>
      </c>
      <c r="B20" s="5" t="s">
        <v>29</v>
      </c>
      <c r="C20" s="6" t="n">
        <v>0.032</v>
      </c>
      <c r="D20" s="6" t="n">
        <v>0.32</v>
      </c>
      <c r="E20" s="6" t="n">
        <v>14.8</v>
      </c>
      <c r="F20" s="6" t="n">
        <v>0.87</v>
      </c>
      <c r="G20" s="7" t="n">
        <v>0.97</v>
      </c>
      <c r="H20" s="8" t="s">
        <v>46</v>
      </c>
    </row>
    <row r="21" customFormat="false" ht="15" hidden="false" customHeight="false" outlineLevel="0" collapsed="false">
      <c r="A21" s="4" t="s">
        <v>47</v>
      </c>
      <c r="B21" s="4" t="s">
        <v>48</v>
      </c>
      <c r="C21" s="9" t="n">
        <v>0.031</v>
      </c>
      <c r="D21" s="9" t="n">
        <v>0.31</v>
      </c>
      <c r="E21" s="9" t="n">
        <v>14.5</v>
      </c>
      <c r="F21" s="9" t="n">
        <v>0.84</v>
      </c>
      <c r="G21" s="7" t="n">
        <v>0.96</v>
      </c>
      <c r="H21" s="10" t="s">
        <v>49</v>
      </c>
    </row>
    <row r="22" customFormat="false" ht="15" hidden="false" customHeight="false" outlineLevel="0" collapsed="false">
      <c r="A22" s="4" t="s">
        <v>50</v>
      </c>
      <c r="B22" s="5" t="s">
        <v>29</v>
      </c>
      <c r="C22" s="6" t="n">
        <v>0.032</v>
      </c>
      <c r="D22" s="6" t="n">
        <v>0.32</v>
      </c>
      <c r="E22" s="6" t="n">
        <v>14.8</v>
      </c>
      <c r="F22" s="6" t="n">
        <v>0.87</v>
      </c>
      <c r="G22" s="7" t="n">
        <v>0.97</v>
      </c>
      <c r="H22" s="8" t="s">
        <v>51</v>
      </c>
    </row>
    <row r="23" customFormat="false" ht="15" hidden="false" customHeight="false" outlineLevel="0" collapsed="false">
      <c r="A23" s="4" t="s">
        <v>52</v>
      </c>
      <c r="B23" s="4" t="s">
        <v>29</v>
      </c>
      <c r="C23" s="9" t="n">
        <v>0.032</v>
      </c>
      <c r="D23" s="9" t="n">
        <v>0.32</v>
      </c>
      <c r="E23" s="9" t="n">
        <v>14.5</v>
      </c>
      <c r="F23" s="9" t="n">
        <v>0.87</v>
      </c>
      <c r="G23" s="7" t="n">
        <v>0.96</v>
      </c>
      <c r="H23" s="10" t="s">
        <v>53</v>
      </c>
    </row>
    <row r="24" customFormat="false" ht="15" hidden="false" customHeight="false" outlineLevel="0" collapsed="false">
      <c r="A24" s="4" t="s">
        <v>54</v>
      </c>
      <c r="B24" s="5" t="s">
        <v>29</v>
      </c>
      <c r="C24" s="6" t="n">
        <v>0.031</v>
      </c>
      <c r="D24" s="6" t="n">
        <v>0.31</v>
      </c>
      <c r="E24" s="6" t="n">
        <v>14.5</v>
      </c>
      <c r="F24" s="6" t="n">
        <v>0.84</v>
      </c>
      <c r="G24" s="7" t="n">
        <v>0.95</v>
      </c>
      <c r="H24" s="8" t="s">
        <v>55</v>
      </c>
    </row>
    <row r="25" customFormat="false" ht="15" hidden="false" customHeight="false" outlineLevel="0" collapsed="false">
      <c r="A25" s="4" t="s">
        <v>56</v>
      </c>
      <c r="B25" s="4" t="s">
        <v>57</v>
      </c>
      <c r="C25" s="9" t="n">
        <v>0.029</v>
      </c>
      <c r="D25" s="9" t="n">
        <v>0.29</v>
      </c>
      <c r="E25" s="9" t="n">
        <v>13.5</v>
      </c>
      <c r="F25" s="9" t="n">
        <v>0.78</v>
      </c>
      <c r="G25" s="7" t="n">
        <v>0.92</v>
      </c>
      <c r="H25" s="10" t="s">
        <v>58</v>
      </c>
    </row>
    <row r="26" customFormat="false" ht="15" hidden="false" customHeight="false" outlineLevel="0" collapsed="false">
      <c r="A26" s="4" t="s">
        <v>59</v>
      </c>
      <c r="B26" s="5" t="s">
        <v>48</v>
      </c>
      <c r="C26" s="6" t="n">
        <v>0.03</v>
      </c>
      <c r="D26" s="6" t="n">
        <v>0.3</v>
      </c>
      <c r="E26" s="6" t="n">
        <v>14</v>
      </c>
      <c r="F26" s="6" t="n">
        <v>0.81</v>
      </c>
      <c r="G26" s="7" t="n">
        <v>0.93</v>
      </c>
      <c r="H26" s="8" t="s">
        <v>60</v>
      </c>
    </row>
    <row r="27" customFormat="false" ht="15" hidden="false" customHeight="false" outlineLevel="0" collapsed="false">
      <c r="A27" s="4" t="s">
        <v>61</v>
      </c>
      <c r="B27" s="4" t="s">
        <v>57</v>
      </c>
      <c r="C27" s="9" t="n">
        <v>0.029</v>
      </c>
      <c r="D27" s="9" t="n">
        <v>0.29</v>
      </c>
      <c r="E27" s="9" t="n">
        <v>13.5</v>
      </c>
      <c r="F27" s="9" t="n">
        <v>0.78</v>
      </c>
      <c r="G27" s="7" t="n">
        <v>0.91</v>
      </c>
      <c r="H27" s="10" t="s">
        <v>62</v>
      </c>
    </row>
    <row r="28" customFormat="false" ht="15" hidden="false" customHeight="false" outlineLevel="0" collapsed="false">
      <c r="A28" s="4" t="s">
        <v>63</v>
      </c>
      <c r="B28" s="5" t="s">
        <v>57</v>
      </c>
      <c r="C28" s="6" t="n">
        <v>0.029</v>
      </c>
      <c r="D28" s="6" t="n">
        <v>0.29</v>
      </c>
      <c r="E28" s="6" t="n">
        <v>13.5</v>
      </c>
      <c r="F28" s="6" t="n">
        <v>0.78</v>
      </c>
      <c r="G28" s="7" t="n">
        <v>0.91</v>
      </c>
      <c r="H28" s="8" t="s">
        <v>64</v>
      </c>
    </row>
    <row r="29" customFormat="false" ht="15" hidden="false" customHeight="false" outlineLevel="0" collapsed="false">
      <c r="A29" s="4" t="s">
        <v>65</v>
      </c>
      <c r="B29" s="4" t="s">
        <v>57</v>
      </c>
      <c r="C29" s="9" t="n">
        <v>0.028</v>
      </c>
      <c r="D29" s="9" t="n">
        <v>0.28</v>
      </c>
      <c r="E29" s="9" t="n">
        <v>13</v>
      </c>
      <c r="F29" s="9" t="n">
        <v>0.75</v>
      </c>
      <c r="G29" s="7" t="n">
        <v>0.9</v>
      </c>
      <c r="H29" s="10" t="s">
        <v>66</v>
      </c>
    </row>
    <row r="30" customFormat="false" ht="15" hidden="false" customHeight="false" outlineLevel="0" collapsed="false">
      <c r="A30" s="4" t="s">
        <v>67</v>
      </c>
      <c r="B30" s="5" t="s">
        <v>57</v>
      </c>
      <c r="C30" s="6" t="n">
        <v>0.028</v>
      </c>
      <c r="D30" s="6" t="n">
        <v>0.28</v>
      </c>
      <c r="E30" s="6" t="n">
        <v>13</v>
      </c>
      <c r="F30" s="6" t="n">
        <v>0.75</v>
      </c>
      <c r="G30" s="7" t="n">
        <v>0.89</v>
      </c>
      <c r="H30" s="8" t="s">
        <v>68</v>
      </c>
    </row>
    <row r="31" customFormat="false" ht="15" hidden="false" customHeight="false" outlineLevel="0" collapsed="false">
      <c r="A31" s="4" t="s">
        <v>69</v>
      </c>
      <c r="B31" s="4" t="s">
        <v>29</v>
      </c>
      <c r="C31" s="9" t="n">
        <v>0.032</v>
      </c>
      <c r="D31" s="9" t="n">
        <v>0.32</v>
      </c>
      <c r="E31" s="9" t="n">
        <v>14.8</v>
      </c>
      <c r="F31" s="9" t="n">
        <v>0.87</v>
      </c>
      <c r="G31" s="7" t="n">
        <v>0.97</v>
      </c>
      <c r="H31" s="10" t="s">
        <v>70</v>
      </c>
    </row>
    <row r="32" customFormat="false" ht="15" hidden="false" customHeight="false" outlineLevel="0" collapsed="false">
      <c r="A32" s="4" t="s">
        <v>71</v>
      </c>
      <c r="B32" s="5" t="s">
        <v>48</v>
      </c>
      <c r="C32" s="6" t="n">
        <v>0.03</v>
      </c>
      <c r="D32" s="6" t="n">
        <v>0.3</v>
      </c>
      <c r="E32" s="6" t="n">
        <v>14</v>
      </c>
      <c r="F32" s="6" t="n">
        <v>0.81</v>
      </c>
      <c r="G32" s="7" t="n">
        <v>0.93</v>
      </c>
      <c r="H32" s="8" t="s">
        <v>72</v>
      </c>
    </row>
    <row r="33" customFormat="false" ht="15" hidden="false" customHeight="false" outlineLevel="0" collapsed="false">
      <c r="A33" s="4" t="s">
        <v>73</v>
      </c>
      <c r="B33" s="4" t="s">
        <v>57</v>
      </c>
      <c r="C33" s="9" t="n">
        <v>0.028</v>
      </c>
      <c r="D33" s="9" t="n">
        <v>0.28</v>
      </c>
      <c r="E33" s="9" t="n">
        <v>13</v>
      </c>
      <c r="F33" s="9" t="n">
        <v>0.75</v>
      </c>
      <c r="G33" s="7" t="n">
        <v>0.89</v>
      </c>
      <c r="H33" s="10" t="s">
        <v>74</v>
      </c>
    </row>
    <row r="34" customFormat="false" ht="15" hidden="false" customHeight="false" outlineLevel="0" collapsed="false">
      <c r="A34" s="4" t="s">
        <v>75</v>
      </c>
      <c r="B34" s="5" t="s">
        <v>57</v>
      </c>
      <c r="C34" s="6" t="n">
        <v>0.027</v>
      </c>
      <c r="D34" s="6" t="n">
        <v>0.27</v>
      </c>
      <c r="E34" s="6" t="n">
        <v>12.5</v>
      </c>
      <c r="F34" s="6" t="n">
        <v>0.72</v>
      </c>
      <c r="G34" s="7" t="n">
        <v>0.88</v>
      </c>
      <c r="H34" s="8" t="s">
        <v>76</v>
      </c>
    </row>
    <row r="35" customFormat="false" ht="15" hidden="false" customHeight="false" outlineLevel="0" collapsed="false">
      <c r="A35" s="4" t="s">
        <v>77</v>
      </c>
      <c r="B35" s="4" t="s">
        <v>57</v>
      </c>
      <c r="C35" s="9" t="n">
        <v>0.027</v>
      </c>
      <c r="D35" s="9" t="n">
        <v>0.27</v>
      </c>
      <c r="E35" s="9" t="n">
        <v>12.5</v>
      </c>
      <c r="F35" s="9" t="n">
        <v>0.72</v>
      </c>
      <c r="G35" s="7" t="n">
        <v>0.88</v>
      </c>
      <c r="H35" s="10" t="s">
        <v>78</v>
      </c>
    </row>
    <row r="36" customFormat="false" ht="15" hidden="false" customHeight="false" outlineLevel="0" collapsed="false">
      <c r="A36" s="4" t="s">
        <v>79</v>
      </c>
      <c r="B36" s="5" t="s">
        <v>57</v>
      </c>
      <c r="C36" s="6" t="n">
        <v>0.027</v>
      </c>
      <c r="D36" s="6" t="n">
        <v>0.27</v>
      </c>
      <c r="E36" s="6" t="n">
        <v>12.5</v>
      </c>
      <c r="F36" s="6" t="n">
        <v>0.72</v>
      </c>
      <c r="G36" s="7" t="n">
        <v>0.87</v>
      </c>
      <c r="H36" s="8" t="s">
        <v>80</v>
      </c>
    </row>
    <row r="37" customFormat="false" ht="15" hidden="false" customHeight="false" outlineLevel="0" collapsed="false">
      <c r="A37" s="4" t="s">
        <v>81</v>
      </c>
      <c r="B37" s="4" t="s">
        <v>82</v>
      </c>
      <c r="C37" s="9" t="n">
        <v>0.03</v>
      </c>
      <c r="D37" s="9" t="n">
        <v>0.3</v>
      </c>
      <c r="E37" s="9" t="n">
        <v>14</v>
      </c>
      <c r="F37" s="9" t="n">
        <v>0.81</v>
      </c>
      <c r="G37" s="7" t="n">
        <v>0.93</v>
      </c>
      <c r="H37" s="10" t="s">
        <v>83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38"/>
  </cols>
  <sheetData>
    <row r="1" customFormat="false" ht="16.15" hidden="false" customHeight="true" outlineLevel="0" collapsed="false">
      <c r="A1" s="11" t="s">
        <v>84</v>
      </c>
      <c r="B1" s="11"/>
      <c r="C1" s="11"/>
      <c r="D1" s="11"/>
    </row>
    <row r="2" customFormat="false" ht="15" hidden="false" customHeight="true" outlineLevel="0" collapsed="false">
      <c r="A2" s="2" t="s">
        <v>85</v>
      </c>
      <c r="B2" s="2"/>
      <c r="C2" s="2"/>
      <c r="D2" s="2"/>
    </row>
    <row r="3" customFormat="false" ht="15" hidden="false" customHeight="false" outlineLevel="0" collapsed="false">
      <c r="A3" s="3" t="s">
        <v>86</v>
      </c>
      <c r="B3" s="3" t="s">
        <v>87</v>
      </c>
      <c r="C3" s="3" t="s">
        <v>88</v>
      </c>
      <c r="D3" s="3" t="s">
        <v>89</v>
      </c>
    </row>
    <row r="4" customFormat="false" ht="15" hidden="false" customHeight="false" outlineLevel="0" collapsed="false">
      <c r="A4" s="5" t="s">
        <v>90</v>
      </c>
      <c r="B4" s="7" t="n">
        <v>0.82</v>
      </c>
      <c r="C4" s="5" t="s">
        <v>91</v>
      </c>
      <c r="D4" s="8" t="s">
        <v>92</v>
      </c>
    </row>
    <row r="5" customFormat="false" ht="15" hidden="false" customHeight="false" outlineLevel="0" collapsed="false">
      <c r="A5" s="4" t="s">
        <v>93</v>
      </c>
      <c r="B5" s="7" t="n">
        <v>0.9</v>
      </c>
      <c r="C5" s="4" t="s">
        <v>94</v>
      </c>
      <c r="D5" s="10" t="s">
        <v>95</v>
      </c>
    </row>
    <row r="6" customFormat="false" ht="15" hidden="false" customHeight="false" outlineLevel="0" collapsed="false">
      <c r="A6" s="5" t="s">
        <v>96</v>
      </c>
      <c r="B6" s="7" t="n">
        <v>0.95</v>
      </c>
      <c r="C6" s="5" t="s">
        <v>97</v>
      </c>
      <c r="D6" s="8" t="s">
        <v>98</v>
      </c>
    </row>
    <row r="7" customFormat="false" ht="15" hidden="false" customHeight="false" outlineLevel="0" collapsed="false">
      <c r="A7" s="4" t="s">
        <v>99</v>
      </c>
      <c r="B7" s="7" t="n">
        <v>1</v>
      </c>
      <c r="C7" s="4" t="s">
        <v>100</v>
      </c>
      <c r="D7" s="10" t="s">
        <v>101</v>
      </c>
    </row>
    <row r="8" customFormat="false" ht="15" hidden="false" customHeight="false" outlineLevel="0" collapsed="false">
      <c r="A8" s="5" t="s">
        <v>102</v>
      </c>
      <c r="B8" s="7" t="n">
        <v>1.1</v>
      </c>
      <c r="C8" s="5" t="s">
        <v>103</v>
      </c>
      <c r="D8" s="8" t="s">
        <v>104</v>
      </c>
    </row>
    <row r="9" customFormat="false" ht="15" hidden="false" customHeight="false" outlineLevel="0" collapsed="false">
      <c r="A9" s="4" t="s">
        <v>105</v>
      </c>
      <c r="B9" s="7" t="n">
        <v>1.22</v>
      </c>
      <c r="C9" s="4" t="s">
        <v>106</v>
      </c>
      <c r="D9" s="10" t="s">
        <v>107</v>
      </c>
    </row>
    <row r="10" customFormat="false" ht="15" hidden="false" customHeight="false" outlineLevel="0" collapsed="false">
      <c r="A10" s="5" t="s">
        <v>108</v>
      </c>
      <c r="B10" s="7" t="n">
        <v>1.38</v>
      </c>
      <c r="C10" s="5" t="s">
        <v>109</v>
      </c>
      <c r="D10" s="8" t="s">
        <v>110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2"/>
  </cols>
  <sheetData>
    <row r="1" customFormat="false" ht="16.15" hidden="false" customHeight="true" outlineLevel="0" collapsed="false">
      <c r="A1" s="11" t="s">
        <v>111</v>
      </c>
      <c r="B1" s="11"/>
      <c r="C1" s="11"/>
      <c r="D1" s="11"/>
    </row>
    <row r="2" customFormat="false" ht="15" hidden="false" customHeight="true" outlineLevel="0" collapsed="false">
      <c r="A2" s="2" t="s">
        <v>112</v>
      </c>
      <c r="B2" s="2"/>
      <c r="C2" s="2"/>
      <c r="D2" s="2"/>
    </row>
    <row r="3" customFormat="false" ht="26.85" hidden="false" customHeight="false" outlineLevel="0" collapsed="false">
      <c r="A3" s="3" t="s">
        <v>113</v>
      </c>
      <c r="B3" s="3" t="s">
        <v>87</v>
      </c>
      <c r="C3" s="3" t="s">
        <v>114</v>
      </c>
      <c r="D3" s="3" t="s">
        <v>89</v>
      </c>
    </row>
    <row r="4" customFormat="false" ht="15" hidden="false" customHeight="false" outlineLevel="0" collapsed="false">
      <c r="A4" s="5" t="s">
        <v>115</v>
      </c>
      <c r="B4" s="7" t="n">
        <v>0.78</v>
      </c>
      <c r="C4" s="5" t="s">
        <v>116</v>
      </c>
      <c r="D4" s="8" t="s">
        <v>117</v>
      </c>
    </row>
    <row r="5" customFormat="false" ht="15" hidden="false" customHeight="false" outlineLevel="0" collapsed="false">
      <c r="A5" s="4" t="s">
        <v>118</v>
      </c>
      <c r="B5" s="7" t="n">
        <v>0.82</v>
      </c>
      <c r="C5" s="4" t="s">
        <v>116</v>
      </c>
      <c r="D5" s="10" t="s">
        <v>119</v>
      </c>
    </row>
    <row r="6" customFormat="false" ht="15" hidden="false" customHeight="false" outlineLevel="0" collapsed="false">
      <c r="A6" s="5" t="s">
        <v>120</v>
      </c>
      <c r="B6" s="7" t="n">
        <v>0.88</v>
      </c>
      <c r="C6" s="5" t="s">
        <v>121</v>
      </c>
      <c r="D6" s="8" t="s">
        <v>122</v>
      </c>
    </row>
    <row r="7" customFormat="false" ht="15" hidden="false" customHeight="false" outlineLevel="0" collapsed="false">
      <c r="A7" s="4" t="s">
        <v>123</v>
      </c>
      <c r="B7" s="7" t="n">
        <v>0.95</v>
      </c>
      <c r="C7" s="4" t="s">
        <v>124</v>
      </c>
      <c r="D7" s="10" t="s">
        <v>125</v>
      </c>
    </row>
    <row r="8" customFormat="false" ht="15" hidden="false" customHeight="false" outlineLevel="0" collapsed="false">
      <c r="A8" s="5" t="s">
        <v>126</v>
      </c>
      <c r="B8" s="7" t="n">
        <v>1</v>
      </c>
      <c r="C8" s="5" t="s">
        <v>127</v>
      </c>
      <c r="D8" s="8" t="s">
        <v>128</v>
      </c>
    </row>
    <row r="9" customFormat="false" ht="15" hidden="false" customHeight="false" outlineLevel="0" collapsed="false">
      <c r="A9" s="4" t="s">
        <v>129</v>
      </c>
      <c r="B9" s="7" t="n">
        <v>1.08</v>
      </c>
      <c r="C9" s="4" t="s">
        <v>130</v>
      </c>
      <c r="D9" s="10" t="s">
        <v>131</v>
      </c>
    </row>
    <row r="10" customFormat="false" ht="15" hidden="false" customHeight="false" outlineLevel="0" collapsed="false">
      <c r="A10" s="5" t="s">
        <v>132</v>
      </c>
      <c r="B10" s="7" t="n">
        <v>1.15</v>
      </c>
      <c r="C10" s="5" t="s">
        <v>133</v>
      </c>
      <c r="D10" s="8" t="s">
        <v>134</v>
      </c>
    </row>
    <row r="11" customFormat="false" ht="23.85" hidden="false" customHeight="false" outlineLevel="0" collapsed="false">
      <c r="A11" s="4" t="s">
        <v>135</v>
      </c>
      <c r="B11" s="7" t="n">
        <v>1.25</v>
      </c>
      <c r="C11" s="4" t="s">
        <v>136</v>
      </c>
      <c r="D11" s="10" t="s">
        <v>137</v>
      </c>
    </row>
    <row r="12" customFormat="false" ht="23.85" hidden="false" customHeight="false" outlineLevel="0" collapsed="false">
      <c r="A12" s="5" t="s">
        <v>138</v>
      </c>
      <c r="B12" s="7" t="n">
        <v>1.35</v>
      </c>
      <c r="C12" s="5" t="s">
        <v>139</v>
      </c>
      <c r="D12" s="8" t="s">
        <v>140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42"/>
  </cols>
  <sheetData>
    <row r="1" customFormat="false" ht="16.15" hidden="false" customHeight="true" outlineLevel="0" collapsed="false">
      <c r="A1" s="11" t="s">
        <v>141</v>
      </c>
      <c r="B1" s="11"/>
      <c r="C1" s="11"/>
      <c r="D1" s="11"/>
    </row>
    <row r="2" customFormat="false" ht="15" hidden="false" customHeight="true" outlineLevel="0" collapsed="false">
      <c r="A2" s="2" t="s">
        <v>142</v>
      </c>
      <c r="B2" s="2"/>
      <c r="C2" s="2"/>
      <c r="D2" s="2"/>
    </row>
    <row r="3" customFormat="false" ht="26.85" hidden="false" customHeight="false" outlineLevel="0" collapsed="false">
      <c r="A3" s="3" t="s">
        <v>143</v>
      </c>
      <c r="B3" s="3" t="s">
        <v>87</v>
      </c>
      <c r="C3" s="3" t="s">
        <v>144</v>
      </c>
      <c r="D3" s="3" t="s">
        <v>89</v>
      </c>
    </row>
    <row r="4" customFormat="false" ht="15" hidden="false" customHeight="false" outlineLevel="0" collapsed="false">
      <c r="A4" s="5" t="s">
        <v>145</v>
      </c>
      <c r="B4" s="7" t="n">
        <v>0.8</v>
      </c>
      <c r="C4" s="8" t="s">
        <v>146</v>
      </c>
      <c r="D4" s="5" t="s">
        <v>147</v>
      </c>
    </row>
    <row r="5" customFormat="false" ht="15" hidden="false" customHeight="false" outlineLevel="0" collapsed="false">
      <c r="A5" s="4" t="s">
        <v>148</v>
      </c>
      <c r="B5" s="7" t="n">
        <v>0.85</v>
      </c>
      <c r="C5" s="10" t="s">
        <v>149</v>
      </c>
      <c r="D5" s="4" t="s">
        <v>150</v>
      </c>
    </row>
    <row r="6" customFormat="false" ht="15" hidden="false" customHeight="false" outlineLevel="0" collapsed="false">
      <c r="A6" s="5" t="s">
        <v>151</v>
      </c>
      <c r="B6" s="7" t="n">
        <v>0.9</v>
      </c>
      <c r="C6" s="8" t="s">
        <v>152</v>
      </c>
      <c r="D6" s="5" t="s">
        <v>153</v>
      </c>
    </row>
    <row r="7" customFormat="false" ht="15" hidden="false" customHeight="false" outlineLevel="0" collapsed="false">
      <c r="A7" s="4" t="s">
        <v>154</v>
      </c>
      <c r="B7" s="7" t="n">
        <v>0.95</v>
      </c>
      <c r="C7" s="10" t="s">
        <v>155</v>
      </c>
      <c r="D7" s="4" t="s">
        <v>156</v>
      </c>
    </row>
    <row r="8" customFormat="false" ht="15" hidden="false" customHeight="false" outlineLevel="0" collapsed="false">
      <c r="A8" s="5" t="s">
        <v>157</v>
      </c>
      <c r="B8" s="7" t="n">
        <v>1</v>
      </c>
      <c r="C8" s="8" t="s">
        <v>158</v>
      </c>
      <c r="D8" s="5" t="s">
        <v>159</v>
      </c>
    </row>
    <row r="9" customFormat="false" ht="15" hidden="false" customHeight="false" outlineLevel="0" collapsed="false">
      <c r="A9" s="4" t="s">
        <v>160</v>
      </c>
      <c r="B9" s="7" t="n">
        <v>1.08</v>
      </c>
      <c r="C9" s="10" t="s">
        <v>161</v>
      </c>
      <c r="D9" s="4" t="s">
        <v>162</v>
      </c>
    </row>
    <row r="10" customFormat="false" ht="15" hidden="false" customHeight="false" outlineLevel="0" collapsed="false">
      <c r="A10" s="5" t="s">
        <v>163</v>
      </c>
      <c r="B10" s="7" t="n">
        <v>1.15</v>
      </c>
      <c r="C10" s="8" t="s">
        <v>164</v>
      </c>
      <c r="D10" s="5" t="s">
        <v>165</v>
      </c>
    </row>
    <row r="11" customFormat="false" ht="15" hidden="false" customHeight="false" outlineLevel="0" collapsed="false">
      <c r="A11" s="4" t="s">
        <v>166</v>
      </c>
      <c r="B11" s="7" t="n">
        <v>1.25</v>
      </c>
      <c r="C11" s="10" t="s">
        <v>167</v>
      </c>
      <c r="D11" s="4" t="s">
        <v>168</v>
      </c>
    </row>
    <row r="12" customFormat="false" ht="15" hidden="false" customHeight="false" outlineLevel="0" collapsed="false">
      <c r="A12" s="5" t="s">
        <v>169</v>
      </c>
      <c r="B12" s="7" t="n">
        <v>1.35</v>
      </c>
      <c r="C12" s="8" t="s">
        <v>170</v>
      </c>
      <c r="D12" s="5" t="s">
        <v>171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16.15" hidden="false" customHeight="true" outlineLevel="0" collapsed="false">
      <c r="A1" s="11" t="s">
        <v>172</v>
      </c>
      <c r="B1" s="11"/>
      <c r="C1" s="11"/>
      <c r="D1" s="11"/>
    </row>
    <row r="2" customFormat="false" ht="15" hidden="false" customHeight="true" outlineLevel="0" collapsed="false">
      <c r="A2" s="2" t="s">
        <v>173</v>
      </c>
      <c r="B2" s="2"/>
      <c r="C2" s="2"/>
      <c r="D2" s="2"/>
    </row>
    <row r="3" customFormat="false" ht="26.85" hidden="false" customHeight="false" outlineLevel="0" collapsed="false">
      <c r="A3" s="3" t="s">
        <v>174</v>
      </c>
      <c r="B3" s="3" t="s">
        <v>87</v>
      </c>
      <c r="C3" s="3" t="s">
        <v>175</v>
      </c>
      <c r="D3" s="3" t="s">
        <v>176</v>
      </c>
    </row>
    <row r="4" customFormat="false" ht="15" hidden="false" customHeight="false" outlineLevel="0" collapsed="false">
      <c r="A4" s="5" t="s">
        <v>177</v>
      </c>
      <c r="B4" s="7" t="n">
        <v>1</v>
      </c>
      <c r="C4" s="8" t="s">
        <v>178</v>
      </c>
      <c r="D4" s="5" t="s">
        <v>179</v>
      </c>
    </row>
    <row r="5" customFormat="false" ht="15" hidden="false" customHeight="false" outlineLevel="0" collapsed="false">
      <c r="A5" s="4" t="s">
        <v>180</v>
      </c>
      <c r="B5" s="7" t="n">
        <v>0.99</v>
      </c>
      <c r="C5" s="10" t="s">
        <v>181</v>
      </c>
      <c r="D5" s="4" t="s">
        <v>182</v>
      </c>
    </row>
    <row r="6" customFormat="false" ht="15" hidden="false" customHeight="false" outlineLevel="0" collapsed="false">
      <c r="A6" s="5" t="s">
        <v>183</v>
      </c>
      <c r="B6" s="7" t="n">
        <v>0.97</v>
      </c>
      <c r="C6" s="8" t="s">
        <v>184</v>
      </c>
      <c r="D6" s="5" t="s">
        <v>185</v>
      </c>
    </row>
    <row r="7" customFormat="false" ht="15" hidden="false" customHeight="false" outlineLevel="0" collapsed="false">
      <c r="A7" s="4" t="s">
        <v>186</v>
      </c>
      <c r="B7" s="7" t="n">
        <v>0.95</v>
      </c>
      <c r="C7" s="10" t="s">
        <v>187</v>
      </c>
      <c r="D7" s="4" t="s">
        <v>188</v>
      </c>
    </row>
    <row r="8" customFormat="false" ht="15" hidden="false" customHeight="false" outlineLevel="0" collapsed="false">
      <c r="A8" s="5" t="s">
        <v>189</v>
      </c>
      <c r="B8" s="7" t="n">
        <v>0.92</v>
      </c>
      <c r="C8" s="8" t="s">
        <v>190</v>
      </c>
      <c r="D8" s="5" t="s">
        <v>191</v>
      </c>
    </row>
    <row r="9" customFormat="false" ht="15" hidden="false" customHeight="false" outlineLevel="0" collapsed="false">
      <c r="A9" s="4" t="s">
        <v>192</v>
      </c>
      <c r="B9" s="7" t="n">
        <v>0.88</v>
      </c>
      <c r="C9" s="10" t="s">
        <v>193</v>
      </c>
      <c r="D9" s="4" t="s">
        <v>194</v>
      </c>
    </row>
    <row r="10" customFormat="false" ht="15" hidden="false" customHeight="false" outlineLevel="0" collapsed="false">
      <c r="A10" s="5" t="s">
        <v>195</v>
      </c>
      <c r="B10" s="7" t="n">
        <v>0.84</v>
      </c>
      <c r="C10" s="8" t="s">
        <v>196</v>
      </c>
      <c r="D10" s="5" t="s">
        <v>107</v>
      </c>
    </row>
    <row r="11" customFormat="false" ht="15" hidden="false" customHeight="false" outlineLevel="0" collapsed="false">
      <c r="A11" s="4" t="s">
        <v>197</v>
      </c>
      <c r="B11" s="7" t="n">
        <v>0.79</v>
      </c>
      <c r="C11" s="10" t="s">
        <v>198</v>
      </c>
      <c r="D11" s="4" t="s">
        <v>199</v>
      </c>
    </row>
    <row r="12" customFormat="false" ht="15" hidden="false" customHeight="false" outlineLevel="0" collapsed="false">
      <c r="A12" s="5" t="s">
        <v>200</v>
      </c>
      <c r="B12" s="7" t="n">
        <v>0.73</v>
      </c>
      <c r="C12" s="8" t="s">
        <v>201</v>
      </c>
      <c r="D12" s="5" t="s">
        <v>202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50"/>
  </cols>
  <sheetData>
    <row r="1" customFormat="false" ht="16.15" hidden="false" customHeight="true" outlineLevel="0" collapsed="false">
      <c r="A1" s="11" t="s">
        <v>203</v>
      </c>
      <c r="B1" s="11"/>
      <c r="C1" s="11"/>
      <c r="D1" s="11"/>
    </row>
    <row r="2" customFormat="false" ht="15" hidden="false" customHeight="true" outlineLevel="0" collapsed="false">
      <c r="A2" s="2" t="s">
        <v>204</v>
      </c>
      <c r="B2" s="2"/>
      <c r="C2" s="2"/>
      <c r="D2" s="2"/>
    </row>
    <row r="3" customFormat="false" ht="15" hidden="false" customHeight="false" outlineLevel="0" collapsed="false">
      <c r="A3" s="3" t="s">
        <v>205</v>
      </c>
      <c r="B3" s="3" t="s">
        <v>87</v>
      </c>
      <c r="C3" s="3" t="s">
        <v>206</v>
      </c>
      <c r="D3" s="3" t="s">
        <v>207</v>
      </c>
    </row>
    <row r="4" customFormat="false" ht="15" hidden="false" customHeight="false" outlineLevel="0" collapsed="false">
      <c r="A4" s="5" t="s">
        <v>208</v>
      </c>
      <c r="B4" s="7" t="n">
        <v>1.02</v>
      </c>
      <c r="C4" s="8" t="s">
        <v>209</v>
      </c>
      <c r="D4" s="5" t="s">
        <v>210</v>
      </c>
    </row>
    <row r="5" customFormat="false" ht="15" hidden="false" customHeight="false" outlineLevel="0" collapsed="false">
      <c r="A5" s="4" t="s">
        <v>211</v>
      </c>
      <c r="B5" s="7" t="n">
        <v>1</v>
      </c>
      <c r="C5" s="10" t="s">
        <v>212</v>
      </c>
      <c r="D5" s="4" t="s">
        <v>213</v>
      </c>
    </row>
    <row r="6" customFormat="false" ht="15" hidden="false" customHeight="false" outlineLevel="0" collapsed="false">
      <c r="A6" s="5" t="s">
        <v>214</v>
      </c>
      <c r="B6" s="7" t="n">
        <v>0.95</v>
      </c>
      <c r="C6" s="8" t="s">
        <v>215</v>
      </c>
      <c r="D6" s="5" t="s">
        <v>216</v>
      </c>
    </row>
    <row r="7" customFormat="false" ht="15" hidden="false" customHeight="false" outlineLevel="0" collapsed="false">
      <c r="A7" s="4" t="s">
        <v>217</v>
      </c>
      <c r="B7" s="7" t="n">
        <v>0.88</v>
      </c>
      <c r="C7" s="10" t="s">
        <v>218</v>
      </c>
      <c r="D7" s="4" t="s">
        <v>219</v>
      </c>
    </row>
    <row r="8" customFormat="false" ht="15" hidden="false" customHeight="false" outlineLevel="0" collapsed="false">
      <c r="A8" s="5" t="s">
        <v>220</v>
      </c>
      <c r="B8" s="7" t="n">
        <v>0.8</v>
      </c>
      <c r="C8" s="8" t="s">
        <v>221</v>
      </c>
      <c r="D8" s="5" t="s">
        <v>222</v>
      </c>
    </row>
    <row r="9" customFormat="false" ht="15" hidden="false" customHeight="false" outlineLevel="0" collapsed="false">
      <c r="A9" s="4" t="s">
        <v>223</v>
      </c>
      <c r="B9" s="7" t="n">
        <v>0.65</v>
      </c>
      <c r="C9" s="10" t="s">
        <v>224</v>
      </c>
      <c r="D9" s="4" t="s">
        <v>225</v>
      </c>
    </row>
    <row r="10" customFormat="false" ht="15" hidden="false" customHeight="false" outlineLevel="0" collapsed="false">
      <c r="A10" s="5" t="s">
        <v>226</v>
      </c>
      <c r="B10" s="7" t="n">
        <v>0.4</v>
      </c>
      <c r="C10" s="8" t="s">
        <v>227</v>
      </c>
      <c r="D10" s="5" t="s">
        <v>228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44"/>
  </cols>
  <sheetData>
    <row r="1" customFormat="false" ht="16.15" hidden="false" customHeight="true" outlineLevel="0" collapsed="false">
      <c r="A1" s="11" t="s">
        <v>229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2" t="s">
        <v>230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12" t="s">
        <v>231</v>
      </c>
      <c r="B4" s="12"/>
      <c r="C4" s="12"/>
      <c r="D4" s="12"/>
      <c r="E4" s="12"/>
      <c r="F4" s="12"/>
    </row>
    <row r="5" customFormat="false" ht="26.85" hidden="false" customHeight="false" outlineLevel="0" collapsed="false">
      <c r="A5" s="13" t="s">
        <v>232</v>
      </c>
      <c r="B5" s="13" t="s">
        <v>233</v>
      </c>
      <c r="C5" s="13" t="s">
        <v>234</v>
      </c>
      <c r="D5" s="13" t="s">
        <v>235</v>
      </c>
      <c r="E5" s="13" t="s">
        <v>89</v>
      </c>
      <c r="F5" s="13" t="s">
        <v>236</v>
      </c>
    </row>
    <row r="6" customFormat="false" ht="46.25" hidden="false" customHeight="false" outlineLevel="0" collapsed="false">
      <c r="A6" s="5" t="s">
        <v>237</v>
      </c>
      <c r="B6" s="14" t="n">
        <v>3300</v>
      </c>
      <c r="C6" s="14" t="n">
        <f aca="false">B6/31.1035</f>
        <v>106.097384538718</v>
      </c>
      <c r="D6" s="14" t="n">
        <f aca="false">C6*84</f>
        <v>8912.18030125227</v>
      </c>
      <c r="E6" s="5" t="s">
        <v>238</v>
      </c>
      <c r="F6" s="5" t="s">
        <v>239</v>
      </c>
    </row>
    <row r="7" customFormat="false" ht="46.25" hidden="false" customHeight="false" outlineLevel="0" collapsed="false">
      <c r="A7" s="4" t="s">
        <v>240</v>
      </c>
      <c r="B7" s="14" t="n">
        <v>33</v>
      </c>
      <c r="C7" s="14" t="n">
        <f aca="false">B7/31.1035</f>
        <v>1.06097384538718</v>
      </c>
      <c r="D7" s="14" t="n">
        <f aca="false">C7*84</f>
        <v>89.1218030125227</v>
      </c>
      <c r="E7" s="4" t="s">
        <v>238</v>
      </c>
      <c r="F7" s="4" t="s">
        <v>239</v>
      </c>
    </row>
    <row r="8" customFormat="false" ht="46.25" hidden="false" customHeight="false" outlineLevel="0" collapsed="false">
      <c r="A8" s="5" t="s">
        <v>241</v>
      </c>
      <c r="B8" s="14" t="n">
        <v>0</v>
      </c>
      <c r="C8" s="14" t="n">
        <v>0.0095</v>
      </c>
      <c r="D8" s="14" t="n">
        <f aca="false">C8*84</f>
        <v>0.798</v>
      </c>
      <c r="E8" s="5" t="s">
        <v>242</v>
      </c>
      <c r="F8" s="5" t="s">
        <v>239</v>
      </c>
    </row>
    <row r="9" customFormat="false" ht="57.45" hidden="false" customHeight="false" outlineLevel="0" collapsed="false">
      <c r="A9" s="4" t="s">
        <v>243</v>
      </c>
      <c r="B9" s="14" t="n">
        <v>0</v>
      </c>
      <c r="C9" s="14" t="n">
        <v>0.018</v>
      </c>
      <c r="D9" s="14" t="n">
        <f aca="false">C9*84</f>
        <v>1.512</v>
      </c>
      <c r="E9" s="4" t="s">
        <v>244</v>
      </c>
      <c r="F9" s="4" t="s">
        <v>239</v>
      </c>
    </row>
    <row r="12" customFormat="false" ht="15" hidden="false" customHeight="true" outlineLevel="0" collapsed="false">
      <c r="A12" s="12" t="s">
        <v>245</v>
      </c>
      <c r="B12" s="12"/>
      <c r="C12" s="12"/>
      <c r="D12" s="12"/>
      <c r="E12" s="12"/>
      <c r="F12" s="12"/>
    </row>
    <row r="13" customFormat="false" ht="15" hidden="false" customHeight="false" outlineLevel="0" collapsed="false">
      <c r="A13" s="13" t="s">
        <v>246</v>
      </c>
      <c r="B13" s="13" t="s">
        <v>247</v>
      </c>
      <c r="C13" s="13" t="s">
        <v>248</v>
      </c>
      <c r="D13" s="13" t="s">
        <v>249</v>
      </c>
      <c r="E13" s="13" t="s">
        <v>250</v>
      </c>
      <c r="F13" s="13" t="s">
        <v>9</v>
      </c>
    </row>
    <row r="14" customFormat="false" ht="15" hidden="false" customHeight="false" outlineLevel="0" collapsed="false">
      <c r="A14" s="15" t="s">
        <v>251</v>
      </c>
      <c r="B14" s="15" t="n">
        <v>1.05</v>
      </c>
      <c r="C14" s="15" t="s">
        <v>252</v>
      </c>
      <c r="D14" s="15" t="n">
        <v>1.05</v>
      </c>
      <c r="E14" s="15" t="s">
        <v>253</v>
      </c>
      <c r="F14" s="16" t="s">
        <v>254</v>
      </c>
    </row>
    <row r="15" customFormat="false" ht="15" hidden="false" customHeight="false" outlineLevel="0" collapsed="false">
      <c r="A15" s="17" t="s">
        <v>255</v>
      </c>
      <c r="B15" s="17" t="n">
        <v>0.036</v>
      </c>
      <c r="C15" s="17" t="s">
        <v>256</v>
      </c>
      <c r="D15" s="17" t="n">
        <v>0.0378</v>
      </c>
      <c r="E15" s="17" t="s">
        <v>257</v>
      </c>
      <c r="F15" s="18" t="s">
        <v>258</v>
      </c>
    </row>
    <row r="16" customFormat="false" ht="15" hidden="false" customHeight="false" outlineLevel="0" collapsed="false">
      <c r="A16" s="15" t="s">
        <v>259</v>
      </c>
      <c r="B16" s="15" t="n">
        <v>0.36</v>
      </c>
      <c r="C16" s="15" t="s">
        <v>256</v>
      </c>
      <c r="D16" s="15" t="n">
        <v>0.378</v>
      </c>
      <c r="E16" s="15" t="s">
        <v>257</v>
      </c>
      <c r="F16" s="16" t="s">
        <v>258</v>
      </c>
    </row>
    <row r="17" customFormat="false" ht="15" hidden="false" customHeight="false" outlineLevel="0" collapsed="false">
      <c r="A17" s="17" t="s">
        <v>260</v>
      </c>
      <c r="B17" s="17" t="n">
        <v>16.5</v>
      </c>
      <c r="C17" s="17" t="s">
        <v>256</v>
      </c>
      <c r="D17" s="17" t="n">
        <v>17.325</v>
      </c>
      <c r="E17" s="17" t="s">
        <v>257</v>
      </c>
      <c r="F17" s="18" t="s">
        <v>258</v>
      </c>
    </row>
    <row r="18" customFormat="false" ht="15" hidden="false" customHeight="false" outlineLevel="0" collapsed="false">
      <c r="A18" s="15" t="s">
        <v>261</v>
      </c>
      <c r="B18" s="15" t="n">
        <v>1</v>
      </c>
      <c r="C18" s="15" t="s">
        <v>256</v>
      </c>
      <c r="D18" s="15" t="n">
        <v>1.05</v>
      </c>
      <c r="E18" s="15" t="s">
        <v>257</v>
      </c>
      <c r="F18" s="16" t="s">
        <v>258</v>
      </c>
    </row>
    <row r="19" customFormat="false" ht="15" hidden="false" customHeight="false" outlineLevel="0" collapsed="false">
      <c r="A19" s="17" t="s">
        <v>262</v>
      </c>
      <c r="B19" s="17" t="n">
        <v>1</v>
      </c>
      <c r="C19" s="17" t="s">
        <v>252</v>
      </c>
      <c r="D19" s="17" t="n">
        <v>1</v>
      </c>
      <c r="E19" s="17" t="s">
        <v>253</v>
      </c>
      <c r="F19" s="18" t="s">
        <v>263</v>
      </c>
    </row>
    <row r="20" customFormat="false" ht="15" hidden="false" customHeight="false" outlineLevel="0" collapsed="false">
      <c r="A20" s="15" t="s">
        <v>264</v>
      </c>
      <c r="B20" s="15" t="n">
        <v>1</v>
      </c>
      <c r="C20" s="15" t="s">
        <v>252</v>
      </c>
      <c r="D20" s="15" t="n">
        <v>1</v>
      </c>
      <c r="E20" s="15" t="s">
        <v>253</v>
      </c>
      <c r="F20" s="16" t="s">
        <v>265</v>
      </c>
    </row>
    <row r="21" customFormat="false" ht="15" hidden="false" customHeight="false" outlineLevel="0" collapsed="false">
      <c r="A21" s="17" t="s">
        <v>266</v>
      </c>
      <c r="B21" s="17" t="n">
        <v>1</v>
      </c>
      <c r="C21" s="17" t="s">
        <v>252</v>
      </c>
      <c r="D21" s="17" t="n">
        <v>1</v>
      </c>
      <c r="E21" s="17" t="s">
        <v>253</v>
      </c>
      <c r="F21" s="18" t="s">
        <v>267</v>
      </c>
    </row>
    <row r="22" customFormat="false" ht="15" hidden="false" customHeight="false" outlineLevel="0" collapsed="false">
      <c r="A22" s="15" t="s">
        <v>268</v>
      </c>
      <c r="B22" s="15" t="n">
        <v>0.97</v>
      </c>
      <c r="C22" s="15" t="s">
        <v>252</v>
      </c>
      <c r="D22" s="15" t="n">
        <v>0.97</v>
      </c>
      <c r="E22" s="15" t="s">
        <v>253</v>
      </c>
      <c r="F22" s="16" t="s">
        <v>269</v>
      </c>
    </row>
    <row r="23" customFormat="false" ht="15" hidden="false" customHeight="false" outlineLevel="0" collapsed="false">
      <c r="A23" s="17" t="s">
        <v>270</v>
      </c>
      <c r="B23" s="17" t="n">
        <v>1</v>
      </c>
      <c r="C23" s="17" t="s">
        <v>252</v>
      </c>
      <c r="D23" s="17" t="n">
        <v>1</v>
      </c>
      <c r="E23" s="17" t="s">
        <v>253</v>
      </c>
      <c r="F23" s="18" t="s">
        <v>271</v>
      </c>
    </row>
    <row r="24" customFormat="false" ht="15" hidden="false" customHeight="false" outlineLevel="0" collapsed="false">
      <c r="A24" s="15" t="s">
        <v>272</v>
      </c>
      <c r="B24" s="15" t="s">
        <v>252</v>
      </c>
      <c r="C24" s="15" t="s">
        <v>273</v>
      </c>
      <c r="D24" s="15" t="s">
        <v>274</v>
      </c>
      <c r="E24" s="15" t="s">
        <v>253</v>
      </c>
      <c r="F24" s="16" t="s">
        <v>275</v>
      </c>
    </row>
    <row r="25" customFormat="false" ht="15" hidden="false" customHeight="false" outlineLevel="0" collapsed="false">
      <c r="A25" s="17" t="s">
        <v>276</v>
      </c>
      <c r="B25" s="17" t="s">
        <v>252</v>
      </c>
      <c r="C25" s="17" t="s">
        <v>277</v>
      </c>
      <c r="D25" s="17" t="s">
        <v>278</v>
      </c>
      <c r="E25" s="17" t="s">
        <v>279</v>
      </c>
      <c r="F25" s="18" t="s">
        <v>280</v>
      </c>
    </row>
    <row r="26" customFormat="false" ht="15" hidden="false" customHeight="false" outlineLevel="0" collapsed="false">
      <c r="A26" s="15" t="s">
        <v>281</v>
      </c>
      <c r="B26" s="15" t="s">
        <v>252</v>
      </c>
      <c r="C26" s="15" t="s">
        <v>282</v>
      </c>
      <c r="D26" s="15" t="s">
        <v>283</v>
      </c>
      <c r="E26" s="15" t="s">
        <v>279</v>
      </c>
      <c r="F26" s="16" t="s">
        <v>284</v>
      </c>
    </row>
    <row r="27" customFormat="false" ht="15" hidden="false" customHeight="false" outlineLevel="0" collapsed="false">
      <c r="A27" s="17" t="s">
        <v>285</v>
      </c>
      <c r="B27" s="17" t="s">
        <v>252</v>
      </c>
      <c r="C27" s="17" t="s">
        <v>286</v>
      </c>
      <c r="D27" s="17" t="s">
        <v>287</v>
      </c>
      <c r="E27" s="17" t="s">
        <v>279</v>
      </c>
      <c r="F27" s="18" t="s">
        <v>288</v>
      </c>
    </row>
    <row r="28" customFormat="false" ht="15" hidden="false" customHeight="false" outlineLevel="0" collapsed="false">
      <c r="A28" s="15" t="s">
        <v>289</v>
      </c>
      <c r="B28" s="15" t="s">
        <v>252</v>
      </c>
      <c r="C28" s="15" t="s">
        <v>290</v>
      </c>
      <c r="D28" s="15" t="s">
        <v>291</v>
      </c>
      <c r="E28" s="15" t="s">
        <v>279</v>
      </c>
      <c r="F28" s="16" t="s">
        <v>292</v>
      </c>
    </row>
    <row r="29" customFormat="false" ht="15" hidden="false" customHeight="false" outlineLevel="0" collapsed="false">
      <c r="A29" s="19" t="s">
        <v>293</v>
      </c>
      <c r="B29" s="19" t="s">
        <v>252</v>
      </c>
      <c r="C29" s="19" t="s">
        <v>252</v>
      </c>
      <c r="D29" s="19" t="s">
        <v>294</v>
      </c>
      <c r="E29" s="19" t="s">
        <v>279</v>
      </c>
      <c r="F29" s="20" t="s">
        <v>295</v>
      </c>
    </row>
  </sheetData>
  <mergeCells count="4">
    <mergeCell ref="A1:F1"/>
    <mergeCell ref="A2:F2"/>
    <mergeCell ref="A4:F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16.15" hidden="false" customHeight="true" outlineLevel="0" collapsed="false">
      <c r="A1" s="11" t="s">
        <v>296</v>
      </c>
      <c r="B1" s="11"/>
      <c r="C1" s="11"/>
      <c r="D1" s="11"/>
    </row>
    <row r="2" customFormat="false" ht="15" hidden="false" customHeight="true" outlineLevel="0" collapsed="false">
      <c r="A2" s="2" t="s">
        <v>297</v>
      </c>
      <c r="B2" s="2"/>
      <c r="C2" s="2"/>
      <c r="D2" s="2"/>
    </row>
    <row r="3" customFormat="false" ht="15" hidden="false" customHeight="false" outlineLevel="0" collapsed="false">
      <c r="A3" s="3" t="s">
        <v>298</v>
      </c>
      <c r="B3" s="3" t="s">
        <v>87</v>
      </c>
      <c r="C3" s="3" t="s">
        <v>299</v>
      </c>
      <c r="D3" s="3" t="s">
        <v>89</v>
      </c>
    </row>
    <row r="4" customFormat="false" ht="15" hidden="false" customHeight="false" outlineLevel="0" collapsed="false">
      <c r="A4" s="5" t="s">
        <v>300</v>
      </c>
      <c r="B4" s="7" t="n">
        <v>0.88</v>
      </c>
      <c r="C4" s="8" t="s">
        <v>301</v>
      </c>
      <c r="D4" s="5" t="s">
        <v>302</v>
      </c>
    </row>
    <row r="5" customFormat="false" ht="15" hidden="false" customHeight="false" outlineLevel="0" collapsed="false">
      <c r="A5" s="4" t="s">
        <v>303</v>
      </c>
      <c r="B5" s="7" t="n">
        <v>0.92</v>
      </c>
      <c r="C5" s="10" t="s">
        <v>304</v>
      </c>
      <c r="D5" s="4" t="s">
        <v>305</v>
      </c>
    </row>
    <row r="6" customFormat="false" ht="15" hidden="false" customHeight="false" outlineLevel="0" collapsed="false">
      <c r="A6" s="5" t="s">
        <v>306</v>
      </c>
      <c r="B6" s="7" t="n">
        <v>0.96</v>
      </c>
      <c r="C6" s="8" t="s">
        <v>307</v>
      </c>
      <c r="D6" s="5" t="s">
        <v>308</v>
      </c>
    </row>
    <row r="7" customFormat="false" ht="15" hidden="false" customHeight="false" outlineLevel="0" collapsed="false">
      <c r="A7" s="4" t="s">
        <v>309</v>
      </c>
      <c r="B7" s="7" t="n">
        <v>0.98</v>
      </c>
      <c r="C7" s="10" t="s">
        <v>310</v>
      </c>
      <c r="D7" s="4" t="s">
        <v>311</v>
      </c>
    </row>
    <row r="8" customFormat="false" ht="15" hidden="false" customHeight="false" outlineLevel="0" collapsed="false">
      <c r="A8" s="5" t="s">
        <v>312</v>
      </c>
      <c r="B8" s="7" t="n">
        <v>1</v>
      </c>
      <c r="C8" s="8" t="s">
        <v>313</v>
      </c>
      <c r="D8" s="5" t="s">
        <v>179</v>
      </c>
    </row>
    <row r="9" customFormat="false" ht="15" hidden="false" customHeight="false" outlineLevel="0" collapsed="false">
      <c r="A9" s="4" t="s">
        <v>314</v>
      </c>
      <c r="B9" s="7" t="n">
        <v>1.05</v>
      </c>
      <c r="C9" s="10" t="s">
        <v>315</v>
      </c>
      <c r="D9" s="4" t="s">
        <v>316</v>
      </c>
    </row>
    <row r="10" customFormat="false" ht="15" hidden="false" customHeight="false" outlineLevel="0" collapsed="false">
      <c r="A10" s="5" t="s">
        <v>317</v>
      </c>
      <c r="B10" s="7" t="n">
        <v>1.12</v>
      </c>
      <c r="C10" s="8" t="s">
        <v>318</v>
      </c>
      <c r="D10" s="5" t="s">
        <v>319</v>
      </c>
    </row>
    <row r="11" customFormat="false" ht="15" hidden="false" customHeight="false" outlineLevel="0" collapsed="false">
      <c r="A11" s="4" t="s">
        <v>90</v>
      </c>
      <c r="B11" s="7" t="n">
        <v>1.2</v>
      </c>
      <c r="C11" s="10" t="s">
        <v>320</v>
      </c>
      <c r="D11" s="4" t="s">
        <v>321</v>
      </c>
    </row>
    <row r="12" customFormat="false" ht="15" hidden="false" customHeight="false" outlineLevel="0" collapsed="false">
      <c r="A12" s="5" t="s">
        <v>322</v>
      </c>
      <c r="B12" s="7" t="n">
        <v>1.28</v>
      </c>
      <c r="C12" s="8" t="s">
        <v>323</v>
      </c>
      <c r="D12" s="5" t="s">
        <v>324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2026-06-04T06:38:45Z</dcterms:created>
  <dc:creator>openpyxl</dc:creator>
  <dc:description/>
  <dc:language>en-US</dc:language>
  <cp:lastModifiedBy/>
  <dcterms:modified xsi:type="dcterms:W3CDTF">2026-06-04T06:38:45Z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